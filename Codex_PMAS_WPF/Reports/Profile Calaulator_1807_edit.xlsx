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Elmo\Elmo_Master\Codex_PMAS_WPF\Reports\"/>
    </mc:Choice>
  </mc:AlternateContent>
  <bookViews>
    <workbookView xWindow="120" yWindow="30" windowWidth="21435" windowHeight="10020" tabRatio="754" firstSheet="1" activeTab="1"/>
  </bookViews>
  <sheets>
    <sheet name="리니어모터 Elmo 파라미터 계산 " sheetId="6" r:id="rId1"/>
    <sheet name="로터리모터 Elmo 파라미터 계산" sheetId="3" r:id="rId2"/>
  </sheets>
  <calcPr calcId="162913"/>
</workbook>
</file>

<file path=xl/calcChain.xml><?xml version="1.0" encoding="utf-8"?>
<calcChain xmlns="http://schemas.openxmlformats.org/spreadsheetml/2006/main">
  <c r="B20" i="3" l="1"/>
  <c r="B14" i="3"/>
  <c r="F14" i="3"/>
  <c r="F19" i="3"/>
  <c r="B19" i="3"/>
  <c r="F18" i="3"/>
  <c r="B25" i="3"/>
  <c r="B8" i="6" l="1"/>
  <c r="B9" i="6" s="1"/>
  <c r="B42" i="6" s="1"/>
  <c r="B43" i="6" s="1"/>
  <c r="B8" i="3"/>
  <c r="B9" i="3" l="1"/>
  <c r="B18" i="3" s="1"/>
  <c r="B24" i="3" s="1"/>
  <c r="B26" i="3"/>
  <c r="D26" i="3" s="1"/>
  <c r="B33" i="3"/>
  <c r="D33" i="3" s="1"/>
  <c r="B27" i="3"/>
  <c r="D27" i="3" s="1"/>
  <c r="B20" i="6"/>
  <c r="B19" i="6"/>
  <c r="B18" i="6"/>
  <c r="B44" i="6"/>
  <c r="B40" i="6" s="1"/>
  <c r="B39" i="6"/>
  <c r="B32" i="3" l="1"/>
  <c r="D32" i="3" s="1"/>
  <c r="B31" i="3"/>
  <c r="B42" i="3"/>
  <c r="B43" i="3" s="1"/>
  <c r="B27" i="6"/>
  <c r="D27" i="6" s="1"/>
  <c r="B33" i="6"/>
  <c r="D33" i="6" s="1"/>
  <c r="B26" i="6"/>
  <c r="D26" i="6" s="1"/>
  <c r="B31" i="6"/>
  <c r="D31" i="6" s="1"/>
  <c r="B32" i="6"/>
  <c r="D32" i="6" s="1"/>
  <c r="B25" i="6"/>
  <c r="D25" i="6" s="1"/>
  <c r="B30" i="6"/>
  <c r="D30" i="6" s="1"/>
  <c r="B24" i="6"/>
  <c r="D24" i="6" s="1"/>
  <c r="B30" i="3" l="1"/>
  <c r="B44" i="3"/>
  <c r="B40" i="3" s="1"/>
  <c r="B39" i="3"/>
  <c r="D31" i="3"/>
  <c r="D25" i="3"/>
  <c r="D30" i="3" l="1"/>
  <c r="D24" i="3"/>
</calcChain>
</file>

<file path=xl/sharedStrings.xml><?xml version="1.0" encoding="utf-8"?>
<sst xmlns="http://schemas.openxmlformats.org/spreadsheetml/2006/main" count="131" uniqueCount="65">
  <si>
    <t>Velocity</t>
    <phoneticPr fontId="1" type="noConversion"/>
  </si>
  <si>
    <t>cts/sec</t>
    <phoneticPr fontId="1" type="noConversion"/>
  </si>
  <si>
    <t>cts/sec^2</t>
    <phoneticPr fontId="1" type="noConversion"/>
  </si>
  <si>
    <t>cts/sec^3</t>
    <phoneticPr fontId="1" type="noConversion"/>
  </si>
  <si>
    <t>msec</t>
    <phoneticPr fontId="1" type="noConversion"/>
  </si>
  <si>
    <t>um</t>
    <phoneticPr fontId="1" type="noConversion"/>
  </si>
  <si>
    <t>Distance</t>
    <phoneticPr fontId="1" type="noConversion"/>
  </si>
  <si>
    <t>Acceleration</t>
    <phoneticPr fontId="1" type="noConversion"/>
  </si>
  <si>
    <t>mm</t>
    <phoneticPr fontId="1" type="noConversion"/>
  </si>
  <si>
    <t>mm/sec</t>
    <phoneticPr fontId="1" type="noConversion"/>
  </si>
  <si>
    <t>m/sec^2</t>
    <phoneticPr fontId="1" type="noConversion"/>
  </si>
  <si>
    <t>cts</t>
    <phoneticPr fontId="1" type="noConversion"/>
  </si>
  <si>
    <t>%</t>
    <phoneticPr fontId="1" type="noConversion"/>
  </si>
  <si>
    <t>Signal Priod</t>
    <phoneticPr fontId="1" type="noConversion"/>
  </si>
  <si>
    <t>Interpolation</t>
    <phoneticPr fontId="1" type="noConversion"/>
  </si>
  <si>
    <t>Signal per Revolution</t>
    <phoneticPr fontId="1" type="noConversion"/>
  </si>
  <si>
    <t>Deg</t>
    <phoneticPr fontId="1" type="noConversion"/>
  </si>
  <si>
    <t>Resolution, cts</t>
    <phoneticPr fontId="1" type="noConversion"/>
  </si>
  <si>
    <t>Position</t>
    <phoneticPr fontId="1" type="noConversion"/>
  </si>
  <si>
    <t>Acceleration, AVG</t>
    <phoneticPr fontId="1" type="noConversion"/>
  </si>
  <si>
    <t>Unit</t>
    <phoneticPr fontId="1" type="noConversion"/>
  </si>
  <si>
    <t>Value</t>
    <phoneticPr fontId="1" type="noConversion"/>
  </si>
  <si>
    <t>%</t>
    <phoneticPr fontId="1" type="noConversion"/>
  </si>
  <si>
    <t>rpm</t>
    <phoneticPr fontId="1" type="noConversion"/>
  </si>
  <si>
    <t>rps/sec</t>
    <phoneticPr fontId="1" type="noConversion"/>
  </si>
  <si>
    <t>Coounts per 1 mm</t>
    <phoneticPr fontId="1" type="noConversion"/>
  </si>
  <si>
    <t>pulse</t>
    <phoneticPr fontId="1" type="noConversion"/>
  </si>
  <si>
    <t>TM</t>
    <phoneticPr fontId="1" type="noConversion"/>
  </si>
  <si>
    <t>Distance</t>
    <phoneticPr fontId="1" type="noConversion"/>
  </si>
  <si>
    <t>Counts per 1 Deg.</t>
    <phoneticPr fontId="1" type="noConversion"/>
  </si>
  <si>
    <t>cts</t>
    <phoneticPr fontId="1" type="noConversion"/>
  </si>
  <si>
    <t>Velocity Max</t>
    <phoneticPr fontId="1" type="noConversion"/>
  </si>
  <si>
    <t>Acceleration, avg</t>
    <phoneticPr fontId="1" type="noConversion"/>
  </si>
  <si>
    <t>cts/sec</t>
    <phoneticPr fontId="1" type="noConversion"/>
  </si>
  <si>
    <t>cts/sec^2</t>
    <phoneticPr fontId="1" type="noConversion"/>
  </si>
  <si>
    <t>Velocity</t>
    <phoneticPr fontId="1" type="noConversion"/>
  </si>
  <si>
    <t>Acceleration, Avg</t>
    <phoneticPr fontId="1" type="noConversion"/>
  </si>
  <si>
    <t>msec</t>
    <phoneticPr fontId="1" type="noConversion"/>
  </si>
  <si>
    <t>Deg</t>
    <phoneticPr fontId="1" type="noConversion"/>
  </si>
  <si>
    <t>rpm</t>
    <phoneticPr fontId="1" type="noConversion"/>
  </si>
  <si>
    <t>rps/sec</t>
    <phoneticPr fontId="1" type="noConversion"/>
  </si>
  <si>
    <t>Value</t>
    <phoneticPr fontId="1" type="noConversion"/>
  </si>
  <si>
    <t>계산된 결과가 출력되는 셀</t>
    <phoneticPr fontId="1" type="noConversion"/>
  </si>
  <si>
    <t>사용자가 입력하는 셀</t>
    <phoneticPr fontId="1" type="noConversion"/>
  </si>
  <si>
    <t>Profile Calculator, for Peak Velocity (등속 없이 최대속도, 최소 가속도 기준 계산)</t>
    <phoneticPr fontId="1" type="noConversion"/>
  </si>
  <si>
    <t>모션시간</t>
    <phoneticPr fontId="2" type="noConversion"/>
  </si>
  <si>
    <t>이동거리</t>
    <phoneticPr fontId="2" type="noConversion"/>
  </si>
  <si>
    <t>최대속도계산결과</t>
    <phoneticPr fontId="2" type="noConversion"/>
  </si>
  <si>
    <t>평균가속도계산결과</t>
    <phoneticPr fontId="2" type="noConversion"/>
  </si>
  <si>
    <t>이동량</t>
    <phoneticPr fontId="2" type="noConversion"/>
  </si>
  <si>
    <t>Distance, 이동거리</t>
    <phoneticPr fontId="1" type="noConversion"/>
  </si>
  <si>
    <t>Velocity, 최고속도</t>
    <phoneticPr fontId="1" type="noConversion"/>
  </si>
  <si>
    <t>Acceleration, 평균가속도</t>
    <phoneticPr fontId="1" type="noConversion"/>
  </si>
  <si>
    <t>S-Curve Ratio, 속도지령 곡선비율</t>
    <phoneticPr fontId="1" type="noConversion"/>
  </si>
  <si>
    <t>Jerk</t>
    <phoneticPr fontId="1" type="noConversion"/>
  </si>
  <si>
    <r>
      <t xml:space="preserve">Position, </t>
    </r>
    <r>
      <rPr>
        <b/>
        <sz val="11"/>
        <color indexed="62"/>
        <rFont val="맑은 고딕"/>
        <family val="3"/>
        <charset val="129"/>
      </rPr>
      <t>PA/PR</t>
    </r>
    <phoneticPr fontId="1" type="noConversion"/>
  </si>
  <si>
    <r>
      <t xml:space="preserve">Speed, </t>
    </r>
    <r>
      <rPr>
        <b/>
        <sz val="11"/>
        <color indexed="62"/>
        <rFont val="맑은 고딕"/>
        <family val="3"/>
        <charset val="129"/>
      </rPr>
      <t>SP</t>
    </r>
    <phoneticPr fontId="1" type="noConversion"/>
  </si>
  <si>
    <r>
      <t xml:space="preserve">Acc, </t>
    </r>
    <r>
      <rPr>
        <b/>
        <sz val="11"/>
        <color indexed="62"/>
        <rFont val="맑은 고딕"/>
        <family val="3"/>
        <charset val="129"/>
      </rPr>
      <t>AC/DC</t>
    </r>
    <phoneticPr fontId="1" type="noConversion"/>
  </si>
  <si>
    <t>Cyclic Position Mode(Elmo Controller)</t>
    <phoneticPr fontId="1" type="noConversion"/>
  </si>
  <si>
    <t>Profiled Position Mode(Elmo Driver)</t>
    <phoneticPr fontId="1" type="noConversion"/>
  </si>
  <si>
    <t>1. Resolution (분해능)</t>
    <phoneticPr fontId="1" type="noConversion"/>
  </si>
  <si>
    <t>2. User Command (실제 요구 조건 입력)</t>
    <phoneticPr fontId="1" type="noConversion"/>
  </si>
  <si>
    <t>Controller Unit (실제 요구조건을 Count로 표시)</t>
    <phoneticPr fontId="1" type="noConversion"/>
  </si>
  <si>
    <t>3. Elmo Input Parameter 계산결과 (엘모 Controller 또는 Driver 파라미터에 입력하는 수치)</t>
    <phoneticPr fontId="1" type="noConversion"/>
  </si>
  <si>
    <r>
      <t xml:space="preserve">Smooth, </t>
    </r>
    <r>
      <rPr>
        <b/>
        <sz val="11"/>
        <color indexed="62"/>
        <rFont val="맑은 고딕"/>
        <family val="3"/>
        <charset val="129"/>
      </rPr>
      <t>SF, 입력가능 최대값: 63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</si>
</sst>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41" formatCode="_-* #,##0_-;\-* #,##0_-;_-* &quot;-&quot;_-;_-@_-"/>
    <numFmt numFmtId="43" formatCode="_-* #,##0.00_-;\-* #,##0.00_-;_-* &quot;-&quot;??_-;_-@_-"/>
    <numFmt numFmtId="176" formatCode="0.0_ "/>
    <numFmt numFmtId="177" formatCode="#,##0.0_ "/>
    <numFmt numFmtId="178" formatCode="0_);[Red]\(0\)"/>
    <numFmt numFmtId="179" formatCode="#,##0.0000000000_ "/>
    <numFmt numFmtId="180" formatCode="0.00_);[Red]\(0.00\)"/>
    <numFmt numFmtId="181" formatCode="#,##0.0000_ "/>
    <numFmt numFmtId="182" formatCode="0_ "/>
    <numFmt numFmtId="183" formatCode="0.0_);[Red]\(0.0\)"/>
  </numFmts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4" fillId="0" borderId="0" applyFont="0" applyFill="0" applyBorder="0" applyAlignment="0" applyProtection="0">
      <alignment vertical="center"/>
    </xf>
  </cellStyleXfs>
  <cellXfs count="135">
    <xf numFmtId="0" fontId="0" fillId="0" borderId="0" xfId="0">
      <alignment vertical="center"/>
    </xf>
    <xf numFmtId="41" fontId="4" fillId="0" borderId="0" xfId="1" applyFont="1">
      <alignment vertical="center"/>
    </xf>
    <xf numFmtId="176" fontId="4" fillId="0" borderId="0" xfId="1" applyNumberFormat="1" applyFont="1">
      <alignment vertical="center"/>
    </xf>
    <xf numFmtId="0" fontId="5" fillId="0" borderId="0" xfId="0" applyFont="1">
      <alignment vertical="center"/>
    </xf>
    <xf numFmtId="178" fontId="4" fillId="0" borderId="0" xfId="1" applyNumberFormat="1" applyFont="1" applyBorder="1">
      <alignment vertical="center"/>
    </xf>
    <xf numFmtId="41" fontId="4" fillId="0" borderId="2" xfId="1" applyFont="1" applyBorder="1">
      <alignment vertical="center"/>
    </xf>
    <xf numFmtId="41" fontId="4" fillId="0" borderId="4" xfId="1" applyFont="1" applyBorder="1">
      <alignment vertical="center"/>
    </xf>
    <xf numFmtId="0" fontId="5" fillId="0" borderId="0" xfId="0" applyFont="1" applyFill="1">
      <alignment vertical="center"/>
    </xf>
    <xf numFmtId="176" fontId="4" fillId="0" borderId="0" xfId="1" applyNumberFormat="1" applyFont="1" applyAlignment="1">
      <alignment vertical="center"/>
    </xf>
    <xf numFmtId="41" fontId="4" fillId="0" borderId="0" xfId="1" applyFont="1" applyBorder="1">
      <alignment vertical="center"/>
    </xf>
    <xf numFmtId="0" fontId="0" fillId="0" borderId="1" xfId="0" applyBorder="1">
      <alignment vertical="center"/>
    </xf>
    <xf numFmtId="0" fontId="0" fillId="0" borderId="5" xfId="0" applyBorder="1">
      <alignment vertical="center"/>
    </xf>
    <xf numFmtId="0" fontId="0" fillId="0" borderId="3" xfId="0" applyBorder="1">
      <alignment vertical="center"/>
    </xf>
    <xf numFmtId="176" fontId="4" fillId="0" borderId="0" xfId="1" applyNumberFormat="1" applyFont="1" applyBorder="1">
      <alignment vertical="center"/>
    </xf>
    <xf numFmtId="41" fontId="5" fillId="0" borderId="0" xfId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0" xfId="0" applyBorder="1" applyAlignment="1">
      <alignment horizontal="right" vertical="center"/>
    </xf>
    <xf numFmtId="176" fontId="5" fillId="0" borderId="0" xfId="1" applyNumberFormat="1" applyFont="1" applyAlignment="1">
      <alignment horizontal="center" vertical="center"/>
    </xf>
    <xf numFmtId="0" fontId="5" fillId="3" borderId="9" xfId="0" applyFont="1" applyFill="1" applyBorder="1">
      <alignment vertical="center"/>
    </xf>
    <xf numFmtId="41" fontId="4" fillId="3" borderId="10" xfId="1" applyFont="1" applyFill="1" applyBorder="1">
      <alignment vertical="center"/>
    </xf>
    <xf numFmtId="0" fontId="0" fillId="3" borderId="10" xfId="0" applyFill="1" applyBorder="1" applyAlignment="1">
      <alignment horizontal="right" vertical="center"/>
    </xf>
    <xf numFmtId="178" fontId="4" fillId="3" borderId="11" xfId="1" applyNumberFormat="1" applyFont="1" applyFill="1" applyBorder="1">
      <alignment vertical="center"/>
    </xf>
    <xf numFmtId="0" fontId="6" fillId="0" borderId="12" xfId="0" applyFont="1" applyFill="1" applyBorder="1">
      <alignment vertical="center"/>
    </xf>
    <xf numFmtId="41" fontId="4" fillId="0" borderId="13" xfId="1" applyFont="1" applyBorder="1">
      <alignment vertical="center"/>
    </xf>
    <xf numFmtId="0" fontId="0" fillId="0" borderId="12" xfId="0" applyBorder="1">
      <alignment vertical="center"/>
    </xf>
    <xf numFmtId="0" fontId="6" fillId="0" borderId="12" xfId="0" applyFont="1" applyBorder="1">
      <alignment vertical="center"/>
    </xf>
    <xf numFmtId="0" fontId="0" fillId="0" borderId="6" xfId="0" applyBorder="1" applyAlignment="1">
      <alignment horizontal="right" vertical="center"/>
    </xf>
    <xf numFmtId="0" fontId="0" fillId="0" borderId="7" xfId="0" applyBorder="1" applyAlignment="1">
      <alignment horizontal="right" vertical="center"/>
    </xf>
    <xf numFmtId="0" fontId="0" fillId="0" borderId="8" xfId="0" applyBorder="1" applyAlignment="1">
      <alignment horizontal="right" vertical="center"/>
    </xf>
    <xf numFmtId="178" fontId="4" fillId="0" borderId="13" xfId="1" applyNumberFormat="1" applyFont="1" applyBorder="1">
      <alignment vertical="center"/>
    </xf>
    <xf numFmtId="0" fontId="0" fillId="0" borderId="15" xfId="0" applyBorder="1" applyAlignment="1">
      <alignment horizontal="right" vertical="center"/>
    </xf>
    <xf numFmtId="0" fontId="0" fillId="0" borderId="17" xfId="0" applyBorder="1" applyAlignment="1">
      <alignment horizontal="right" vertical="center"/>
    </xf>
    <xf numFmtId="0" fontId="0" fillId="0" borderId="19" xfId="0" applyBorder="1" applyAlignment="1">
      <alignment horizontal="right" vertical="center"/>
    </xf>
    <xf numFmtId="0" fontId="0" fillId="0" borderId="15" xfId="0" applyBorder="1">
      <alignment vertical="center"/>
    </xf>
    <xf numFmtId="0" fontId="0" fillId="0" borderId="17" xfId="0" applyBorder="1">
      <alignment vertical="center"/>
    </xf>
    <xf numFmtId="0" fontId="0" fillId="0" borderId="19" xfId="0" applyBorder="1">
      <alignment vertical="center"/>
    </xf>
    <xf numFmtId="180" fontId="5" fillId="5" borderId="14" xfId="1" applyNumberFormat="1" applyFont="1" applyFill="1" applyBorder="1">
      <alignment vertical="center"/>
    </xf>
    <xf numFmtId="180" fontId="5" fillId="5" borderId="16" xfId="1" applyNumberFormat="1" applyFont="1" applyFill="1" applyBorder="1">
      <alignment vertical="center"/>
    </xf>
    <xf numFmtId="180" fontId="5" fillId="5" borderId="18" xfId="1" applyNumberFormat="1" applyFont="1" applyFill="1" applyBorder="1">
      <alignment vertical="center"/>
    </xf>
    <xf numFmtId="0" fontId="0" fillId="0" borderId="14" xfId="0" applyBorder="1" applyAlignment="1">
      <alignment horizontal="right" vertical="center"/>
    </xf>
    <xf numFmtId="0" fontId="0" fillId="0" borderId="16" xfId="0" applyBorder="1" applyAlignment="1">
      <alignment horizontal="right" vertical="center"/>
    </xf>
    <xf numFmtId="0" fontId="0" fillId="0" borderId="18" xfId="0" applyBorder="1" applyAlignment="1">
      <alignment horizontal="right" vertical="center"/>
    </xf>
    <xf numFmtId="0" fontId="5" fillId="6" borderId="9" xfId="0" applyFont="1" applyFill="1" applyBorder="1">
      <alignment vertical="center"/>
    </xf>
    <xf numFmtId="41" fontId="4" fillId="6" borderId="10" xfId="1" applyFont="1" applyFill="1" applyBorder="1">
      <alignment vertical="center"/>
    </xf>
    <xf numFmtId="0" fontId="0" fillId="6" borderId="10" xfId="0" applyFill="1" applyBorder="1" applyAlignment="1">
      <alignment horizontal="right" vertical="center"/>
    </xf>
    <xf numFmtId="176" fontId="4" fillId="6" borderId="11" xfId="1" applyNumberFormat="1" applyFont="1" applyFill="1" applyBorder="1" applyAlignment="1">
      <alignment vertical="center"/>
    </xf>
    <xf numFmtId="0" fontId="5" fillId="2" borderId="9" xfId="0" applyFont="1" applyFill="1" applyBorder="1">
      <alignment vertical="center"/>
    </xf>
    <xf numFmtId="41" fontId="4" fillId="2" borderId="10" xfId="1" applyFont="1" applyFill="1" applyBorder="1">
      <alignment vertical="center"/>
    </xf>
    <xf numFmtId="0" fontId="0" fillId="2" borderId="10" xfId="0" applyFill="1" applyBorder="1">
      <alignment vertical="center"/>
    </xf>
    <xf numFmtId="176" fontId="4" fillId="2" borderId="11" xfId="1" applyNumberFormat="1" applyFont="1" applyFill="1" applyBorder="1" applyAlignment="1">
      <alignment vertical="center"/>
    </xf>
    <xf numFmtId="176" fontId="4" fillId="2" borderId="11" xfId="1" applyNumberFormat="1" applyFont="1" applyFill="1" applyBorder="1">
      <alignment vertical="center"/>
    </xf>
    <xf numFmtId="41" fontId="4" fillId="5" borderId="6" xfId="1" applyFont="1" applyFill="1" applyBorder="1">
      <alignment vertical="center"/>
    </xf>
    <xf numFmtId="41" fontId="4" fillId="4" borderId="8" xfId="1" applyFont="1" applyFill="1" applyBorder="1">
      <alignment vertical="center"/>
    </xf>
    <xf numFmtId="0" fontId="5" fillId="6" borderId="1" xfId="0" applyFont="1" applyFill="1" applyBorder="1">
      <alignment vertical="center"/>
    </xf>
    <xf numFmtId="41" fontId="4" fillId="6" borderId="2" xfId="1" applyFont="1" applyFill="1" applyBorder="1">
      <alignment vertical="center"/>
    </xf>
    <xf numFmtId="0" fontId="0" fillId="6" borderId="2" xfId="0" applyFill="1" applyBorder="1" applyAlignment="1">
      <alignment horizontal="right" vertical="center"/>
    </xf>
    <xf numFmtId="176" fontId="4" fillId="6" borderId="6" xfId="1" applyNumberFormat="1" applyFont="1" applyFill="1" applyBorder="1" applyAlignment="1">
      <alignment vertical="center"/>
    </xf>
    <xf numFmtId="0" fontId="0" fillId="0" borderId="20" xfId="0" applyBorder="1">
      <alignment vertical="center"/>
    </xf>
    <xf numFmtId="176" fontId="4" fillId="0" borderId="21" xfId="1" applyNumberFormat="1" applyFont="1" applyBorder="1">
      <alignment vertical="center"/>
    </xf>
    <xf numFmtId="0" fontId="0" fillId="0" borderId="22" xfId="0" applyBorder="1">
      <alignment vertical="center"/>
    </xf>
    <xf numFmtId="176" fontId="4" fillId="0" borderId="23" xfId="1" applyNumberFormat="1" applyFont="1" applyBorder="1">
      <alignment vertical="center"/>
    </xf>
    <xf numFmtId="0" fontId="0" fillId="0" borderId="24" xfId="0" applyBorder="1">
      <alignment vertical="center"/>
    </xf>
    <xf numFmtId="176" fontId="4" fillId="0" borderId="25" xfId="1" applyNumberFormat="1" applyFont="1" applyBorder="1">
      <alignment vertical="center"/>
    </xf>
    <xf numFmtId="176" fontId="4" fillId="2" borderId="6" xfId="1" applyNumberFormat="1" applyFont="1" applyFill="1" applyBorder="1">
      <alignment vertical="center"/>
    </xf>
    <xf numFmtId="0" fontId="5" fillId="0" borderId="29" xfId="0" applyFont="1" applyFill="1" applyBorder="1">
      <alignment vertical="center"/>
    </xf>
    <xf numFmtId="181" fontId="4" fillId="5" borderId="30" xfId="1" applyNumberFormat="1" applyFont="1" applyFill="1" applyBorder="1">
      <alignment vertical="center"/>
    </xf>
    <xf numFmtId="0" fontId="0" fillId="0" borderId="30" xfId="0" applyBorder="1" applyAlignment="1">
      <alignment horizontal="right" vertical="center"/>
    </xf>
    <xf numFmtId="176" fontId="4" fillId="0" borderId="31" xfId="1" applyNumberFormat="1" applyFont="1" applyBorder="1" applyAlignment="1">
      <alignment vertical="center"/>
    </xf>
    <xf numFmtId="0" fontId="5" fillId="0" borderId="32" xfId="0" applyFont="1" applyFill="1" applyBorder="1">
      <alignment vertical="center"/>
    </xf>
    <xf numFmtId="41" fontId="4" fillId="5" borderId="33" xfId="1" applyFont="1" applyFill="1" applyBorder="1">
      <alignment vertical="center"/>
    </xf>
    <xf numFmtId="0" fontId="0" fillId="0" borderId="33" xfId="0" applyBorder="1" applyAlignment="1">
      <alignment horizontal="right" vertical="center"/>
    </xf>
    <xf numFmtId="176" fontId="4" fillId="0" borderId="34" xfId="1" applyNumberFormat="1" applyFont="1" applyBorder="1" applyAlignment="1">
      <alignment vertical="center"/>
    </xf>
    <xf numFmtId="179" fontId="4" fillId="0" borderId="33" xfId="1" applyNumberFormat="1" applyFont="1" applyBorder="1">
      <alignment vertical="center"/>
    </xf>
    <xf numFmtId="0" fontId="5" fillId="0" borderId="35" xfId="0" applyFont="1" applyFill="1" applyBorder="1">
      <alignment vertical="center"/>
    </xf>
    <xf numFmtId="41" fontId="4" fillId="0" borderId="36" xfId="1" applyFont="1" applyBorder="1">
      <alignment vertical="center"/>
    </xf>
    <xf numFmtId="0" fontId="0" fillId="0" borderId="36" xfId="0" applyBorder="1" applyAlignment="1">
      <alignment horizontal="right" vertical="center"/>
    </xf>
    <xf numFmtId="176" fontId="4" fillId="0" borderId="37" xfId="1" applyNumberFormat="1" applyFont="1" applyBorder="1" applyAlignment="1">
      <alignment vertical="center"/>
    </xf>
    <xf numFmtId="178" fontId="5" fillId="0" borderId="29" xfId="0" applyNumberFormat="1" applyFont="1" applyBorder="1">
      <alignment vertical="center"/>
    </xf>
    <xf numFmtId="178" fontId="4" fillId="5" borderId="30" xfId="1" applyNumberFormat="1" applyFont="1" applyFill="1" applyBorder="1">
      <alignment vertical="center"/>
    </xf>
    <xf numFmtId="178" fontId="0" fillId="0" borderId="30" xfId="0" applyNumberFormat="1" applyBorder="1" applyAlignment="1">
      <alignment horizontal="right" vertical="center"/>
    </xf>
    <xf numFmtId="178" fontId="4" fillId="0" borderId="31" xfId="1" applyNumberFormat="1" applyFont="1" applyBorder="1" applyAlignment="1">
      <alignment vertical="center"/>
    </xf>
    <xf numFmtId="178" fontId="5" fillId="0" borderId="32" xfId="0" applyNumberFormat="1" applyFont="1" applyBorder="1">
      <alignment vertical="center"/>
    </xf>
    <xf numFmtId="178" fontId="4" fillId="5" borderId="33" xfId="1" applyNumberFormat="1" applyFont="1" applyFill="1" applyBorder="1">
      <alignment vertical="center"/>
    </xf>
    <xf numFmtId="178" fontId="0" fillId="0" borderId="33" xfId="0" applyNumberFormat="1" applyBorder="1" applyAlignment="1">
      <alignment horizontal="right" vertical="center"/>
    </xf>
    <xf numFmtId="178" fontId="4" fillId="0" borderId="34" xfId="1" applyNumberFormat="1" applyFont="1" applyBorder="1" applyAlignment="1">
      <alignment vertical="center"/>
    </xf>
    <xf numFmtId="183" fontId="4" fillId="5" borderId="33" xfId="1" applyNumberFormat="1" applyFont="1" applyFill="1" applyBorder="1">
      <alignment vertical="center"/>
    </xf>
    <xf numFmtId="178" fontId="5" fillId="0" borderId="35" xfId="0" applyNumberFormat="1" applyFont="1" applyBorder="1">
      <alignment vertical="center"/>
    </xf>
    <xf numFmtId="178" fontId="4" fillId="5" borderId="36" xfId="1" applyNumberFormat="1" applyFont="1" applyFill="1" applyBorder="1">
      <alignment vertical="center"/>
    </xf>
    <xf numFmtId="178" fontId="0" fillId="0" borderId="36" xfId="0" applyNumberFormat="1" applyBorder="1" applyAlignment="1">
      <alignment horizontal="right" vertical="center"/>
    </xf>
    <xf numFmtId="178" fontId="4" fillId="0" borderId="37" xfId="1" applyNumberFormat="1" applyFont="1" applyBorder="1" applyAlignment="1">
      <alignment vertical="center"/>
    </xf>
    <xf numFmtId="0" fontId="5" fillId="7" borderId="38" xfId="0" applyFont="1" applyFill="1" applyBorder="1">
      <alignment vertical="center"/>
    </xf>
    <xf numFmtId="41" fontId="4" fillId="7" borderId="30" xfId="1" applyFont="1" applyFill="1" applyBorder="1">
      <alignment vertical="center"/>
    </xf>
    <xf numFmtId="0" fontId="0" fillId="7" borderId="30" xfId="0" applyFill="1" applyBorder="1" applyAlignment="1">
      <alignment horizontal="right" vertical="center"/>
    </xf>
    <xf numFmtId="178" fontId="4" fillId="7" borderId="39" xfId="1" applyNumberFormat="1" applyFont="1" applyFill="1" applyBorder="1">
      <alignment vertical="center"/>
    </xf>
    <xf numFmtId="0" fontId="5" fillId="7" borderId="40" xfId="0" applyFont="1" applyFill="1" applyBorder="1">
      <alignment vertical="center"/>
    </xf>
    <xf numFmtId="41" fontId="4" fillId="7" borderId="33" xfId="1" applyFont="1" applyFill="1" applyBorder="1">
      <alignment vertical="center"/>
    </xf>
    <xf numFmtId="0" fontId="0" fillId="7" borderId="33" xfId="0" applyFill="1" applyBorder="1" applyAlignment="1">
      <alignment horizontal="right" vertical="center"/>
    </xf>
    <xf numFmtId="178" fontId="4" fillId="7" borderId="41" xfId="1" applyNumberFormat="1" applyFont="1" applyFill="1" applyBorder="1">
      <alignment vertical="center"/>
    </xf>
    <xf numFmtId="0" fontId="5" fillId="7" borderId="42" xfId="0" applyFont="1" applyFill="1" applyBorder="1">
      <alignment vertical="center"/>
    </xf>
    <xf numFmtId="41" fontId="4" fillId="7" borderId="43" xfId="1" applyFont="1" applyFill="1" applyBorder="1">
      <alignment vertical="center"/>
    </xf>
    <xf numFmtId="0" fontId="0" fillId="7" borderId="43" xfId="0" applyFill="1" applyBorder="1" applyAlignment="1">
      <alignment horizontal="right" vertical="center"/>
    </xf>
    <xf numFmtId="178" fontId="4" fillId="7" borderId="44" xfId="1" applyNumberFormat="1" applyFont="1" applyFill="1" applyBorder="1">
      <alignment vertical="center"/>
    </xf>
    <xf numFmtId="0" fontId="5" fillId="0" borderId="45" xfId="0" applyFont="1" applyFill="1" applyBorder="1">
      <alignment vertical="center"/>
    </xf>
    <xf numFmtId="41" fontId="4" fillId="0" borderId="46" xfId="1" applyFont="1" applyBorder="1">
      <alignment vertical="center"/>
    </xf>
    <xf numFmtId="0" fontId="0" fillId="0" borderId="46" xfId="0" applyBorder="1" applyAlignment="1">
      <alignment horizontal="right" vertical="center"/>
    </xf>
    <xf numFmtId="178" fontId="4" fillId="4" borderId="47" xfId="1" applyNumberFormat="1" applyFont="1" applyFill="1" applyBorder="1">
      <alignment vertical="center"/>
    </xf>
    <xf numFmtId="41" fontId="4" fillId="0" borderId="33" xfId="1" applyFont="1" applyBorder="1">
      <alignment vertical="center"/>
    </xf>
    <xf numFmtId="178" fontId="4" fillId="4" borderId="34" xfId="1" applyNumberFormat="1" applyFont="1" applyFill="1" applyBorder="1">
      <alignment vertical="center"/>
    </xf>
    <xf numFmtId="0" fontId="5" fillId="0" borderId="32" xfId="0" applyFont="1" applyBorder="1">
      <alignment vertical="center"/>
    </xf>
    <xf numFmtId="41" fontId="4" fillId="4" borderId="34" xfId="1" applyFont="1" applyFill="1" applyBorder="1">
      <alignment vertical="center"/>
    </xf>
    <xf numFmtId="0" fontId="5" fillId="0" borderId="48" xfId="0" applyFont="1" applyBorder="1">
      <alignment vertical="center"/>
    </xf>
    <xf numFmtId="41" fontId="4" fillId="0" borderId="43" xfId="1" applyFont="1" applyBorder="1">
      <alignment vertical="center"/>
    </xf>
    <xf numFmtId="0" fontId="0" fillId="0" borderId="43" xfId="0" applyBorder="1" applyAlignment="1">
      <alignment horizontal="right" vertical="center"/>
    </xf>
    <xf numFmtId="41" fontId="4" fillId="4" borderId="49" xfId="1" applyFont="1" applyFill="1" applyBorder="1">
      <alignment vertical="center"/>
    </xf>
    <xf numFmtId="43" fontId="4" fillId="0" borderId="33" xfId="1" applyNumberFormat="1" applyFont="1" applyBorder="1">
      <alignment vertical="center"/>
    </xf>
    <xf numFmtId="0" fontId="5" fillId="0" borderId="35" xfId="0" applyFont="1" applyBorder="1">
      <alignment vertical="center"/>
    </xf>
    <xf numFmtId="43" fontId="4" fillId="0" borderId="36" xfId="1" applyNumberFormat="1" applyFont="1" applyBorder="1">
      <alignment vertical="center"/>
    </xf>
    <xf numFmtId="178" fontId="4" fillId="4" borderId="37" xfId="1" applyNumberFormat="1" applyFont="1" applyFill="1" applyBorder="1">
      <alignment vertical="center"/>
    </xf>
    <xf numFmtId="41" fontId="4" fillId="5" borderId="30" xfId="1" applyFont="1" applyFill="1" applyBorder="1">
      <alignment vertical="center"/>
    </xf>
    <xf numFmtId="41" fontId="4" fillId="0" borderId="33" xfId="1" applyFont="1" applyFill="1" applyBorder="1">
      <alignment vertical="center"/>
    </xf>
    <xf numFmtId="41" fontId="4" fillId="0" borderId="36" xfId="1" applyFont="1" applyFill="1" applyBorder="1">
      <alignment vertical="center"/>
    </xf>
    <xf numFmtId="177" fontId="4" fillId="5" borderId="30" xfId="1" applyNumberFormat="1" applyFont="1" applyFill="1" applyBorder="1">
      <alignment vertical="center"/>
    </xf>
    <xf numFmtId="177" fontId="4" fillId="5" borderId="33" xfId="1" applyNumberFormat="1" applyFont="1" applyFill="1" applyBorder="1">
      <alignment vertical="center"/>
    </xf>
    <xf numFmtId="177" fontId="4" fillId="5" borderId="36" xfId="1" applyNumberFormat="1" applyFont="1" applyFill="1" applyBorder="1">
      <alignment vertical="center"/>
    </xf>
    <xf numFmtId="182" fontId="4" fillId="4" borderId="47" xfId="1" applyNumberFormat="1" applyFont="1" applyFill="1" applyBorder="1">
      <alignment vertical="center"/>
    </xf>
    <xf numFmtId="182" fontId="4" fillId="4" borderId="34" xfId="1" applyNumberFormat="1" applyFont="1" applyFill="1" applyBorder="1">
      <alignment vertical="center"/>
    </xf>
    <xf numFmtId="182" fontId="4" fillId="4" borderId="49" xfId="1" applyNumberFormat="1" applyFont="1" applyFill="1" applyBorder="1">
      <alignment vertical="center"/>
    </xf>
    <xf numFmtId="182" fontId="4" fillId="4" borderId="37" xfId="1" applyNumberFormat="1" applyFont="1" applyFill="1" applyBorder="1">
      <alignment vertical="center"/>
    </xf>
    <xf numFmtId="43" fontId="0" fillId="0" borderId="0" xfId="0" applyNumberFormat="1">
      <alignment vertical="center"/>
    </xf>
    <xf numFmtId="0" fontId="5" fillId="2" borderId="26" xfId="0" applyFont="1" applyFill="1" applyBorder="1" applyAlignment="1">
      <alignment vertical="center"/>
    </xf>
    <xf numFmtId="0" fontId="5" fillId="2" borderId="27" xfId="0" applyFont="1" applyFill="1" applyBorder="1" applyAlignment="1">
      <alignment vertical="center"/>
    </xf>
    <xf numFmtId="0" fontId="5" fillId="2" borderId="28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-0.249977111117893"/>
  </sheetPr>
  <dimension ref="A1:F44"/>
  <sheetViews>
    <sheetView workbookViewId="0">
      <selection activeCell="F25" sqref="F25:F28"/>
    </sheetView>
  </sheetViews>
  <sheetFormatPr defaultRowHeight="16.5" x14ac:dyDescent="0.3"/>
  <cols>
    <col min="1" max="1" width="34.25" customWidth="1"/>
    <col min="2" max="2" width="23.125" style="1" bestFit="1" customWidth="1"/>
    <col min="4" max="4" width="19.375" style="2" bestFit="1" customWidth="1"/>
    <col min="6" max="6" width="19.375" bestFit="1" customWidth="1"/>
  </cols>
  <sheetData>
    <row r="1" spans="1:4" x14ac:dyDescent="0.3">
      <c r="A1" s="10" t="s">
        <v>43</v>
      </c>
      <c r="B1" s="52"/>
    </row>
    <row r="2" spans="1:4" x14ac:dyDescent="0.3">
      <c r="A2" s="12" t="s">
        <v>42</v>
      </c>
      <c r="B2" s="53"/>
    </row>
    <row r="4" spans="1:4" ht="17.25" thickBot="1" x14ac:dyDescent="0.35">
      <c r="B4" s="14" t="s">
        <v>21</v>
      </c>
      <c r="C4" s="15" t="s">
        <v>20</v>
      </c>
      <c r="D4" s="18" t="s">
        <v>21</v>
      </c>
    </row>
    <row r="5" spans="1:4" ht="16.5" customHeight="1" x14ac:dyDescent="0.3">
      <c r="A5" s="47" t="s">
        <v>60</v>
      </c>
      <c r="B5" s="48"/>
      <c r="C5" s="49"/>
      <c r="D5" s="50"/>
    </row>
    <row r="6" spans="1:4" x14ac:dyDescent="0.3">
      <c r="A6" s="65" t="s">
        <v>13</v>
      </c>
      <c r="B6" s="66">
        <v>800</v>
      </c>
      <c r="C6" s="67" t="s">
        <v>5</v>
      </c>
      <c r="D6" s="68"/>
    </row>
    <row r="7" spans="1:4" x14ac:dyDescent="0.3">
      <c r="A7" s="69" t="s">
        <v>14</v>
      </c>
      <c r="B7" s="70">
        <v>1024</v>
      </c>
      <c r="C7" s="71"/>
      <c r="D7" s="72"/>
    </row>
    <row r="8" spans="1:4" x14ac:dyDescent="0.3">
      <c r="A8" s="69" t="s">
        <v>17</v>
      </c>
      <c r="B8" s="73">
        <f>B6/B7</f>
        <v>0.78125</v>
      </c>
      <c r="C8" s="71" t="s">
        <v>5</v>
      </c>
      <c r="D8" s="72"/>
    </row>
    <row r="9" spans="1:4" ht="17.25" thickBot="1" x14ac:dyDescent="0.35">
      <c r="A9" s="74" t="s">
        <v>25</v>
      </c>
      <c r="B9" s="75">
        <f>1000/B8</f>
        <v>1280</v>
      </c>
      <c r="C9" s="76"/>
      <c r="D9" s="77"/>
    </row>
    <row r="10" spans="1:4" ht="17.25" thickBot="1" x14ac:dyDescent="0.35">
      <c r="A10" s="7"/>
      <c r="C10" s="16"/>
      <c r="D10" s="8"/>
    </row>
    <row r="11" spans="1:4" x14ac:dyDescent="0.3">
      <c r="A11" s="43" t="s">
        <v>61</v>
      </c>
      <c r="B11" s="44"/>
      <c r="C11" s="45"/>
      <c r="D11" s="46"/>
    </row>
    <row r="12" spans="1:4" x14ac:dyDescent="0.3">
      <c r="A12" s="78" t="s">
        <v>50</v>
      </c>
      <c r="B12" s="79">
        <v>5</v>
      </c>
      <c r="C12" s="80" t="s">
        <v>8</v>
      </c>
      <c r="D12" s="81"/>
    </row>
    <row r="13" spans="1:4" x14ac:dyDescent="0.3">
      <c r="A13" s="82" t="s">
        <v>51</v>
      </c>
      <c r="B13" s="83">
        <v>400</v>
      </c>
      <c r="C13" s="84" t="s">
        <v>9</v>
      </c>
      <c r="D13" s="85"/>
    </row>
    <row r="14" spans="1:4" x14ac:dyDescent="0.3">
      <c r="A14" s="82" t="s">
        <v>52</v>
      </c>
      <c r="B14" s="86">
        <v>50</v>
      </c>
      <c r="C14" s="84" t="s">
        <v>10</v>
      </c>
      <c r="D14" s="85"/>
    </row>
    <row r="15" spans="1:4" ht="17.25" thickBot="1" x14ac:dyDescent="0.35">
      <c r="A15" s="87" t="s">
        <v>53</v>
      </c>
      <c r="B15" s="88">
        <v>33</v>
      </c>
      <c r="C15" s="89" t="s">
        <v>12</v>
      </c>
      <c r="D15" s="90"/>
    </row>
    <row r="16" spans="1:4" x14ac:dyDescent="0.3">
      <c r="C16" s="16"/>
      <c r="D16" s="8"/>
    </row>
    <row r="17" spans="1:6" x14ac:dyDescent="0.3">
      <c r="A17" s="54" t="s">
        <v>62</v>
      </c>
      <c r="B17" s="55"/>
      <c r="C17" s="56"/>
      <c r="D17" s="57"/>
    </row>
    <row r="18" spans="1:6" x14ac:dyDescent="0.3">
      <c r="A18" s="91" t="s">
        <v>6</v>
      </c>
      <c r="B18" s="92">
        <f>B12*B9</f>
        <v>6400</v>
      </c>
      <c r="C18" s="93" t="s">
        <v>11</v>
      </c>
      <c r="D18" s="94"/>
    </row>
    <row r="19" spans="1:6" x14ac:dyDescent="0.3">
      <c r="A19" s="95" t="s">
        <v>0</v>
      </c>
      <c r="B19" s="96">
        <f>B9*B13</f>
        <v>512000</v>
      </c>
      <c r="C19" s="97" t="s">
        <v>1</v>
      </c>
      <c r="D19" s="98"/>
    </row>
    <row r="20" spans="1:6" x14ac:dyDescent="0.3">
      <c r="A20" s="99" t="s">
        <v>19</v>
      </c>
      <c r="B20" s="100">
        <f>B14*B9*1000</f>
        <v>64000000</v>
      </c>
      <c r="C20" s="101" t="s">
        <v>2</v>
      </c>
      <c r="D20" s="102"/>
    </row>
    <row r="21" spans="1:6" ht="17.25" thickBot="1" x14ac:dyDescent="0.35">
      <c r="A21" s="3"/>
      <c r="C21" s="16"/>
      <c r="D21" s="4"/>
    </row>
    <row r="22" spans="1:6" x14ac:dyDescent="0.3">
      <c r="A22" s="19" t="s">
        <v>63</v>
      </c>
      <c r="B22" s="20"/>
      <c r="C22" s="21"/>
      <c r="D22" s="22"/>
    </row>
    <row r="23" spans="1:6" x14ac:dyDescent="0.3">
      <c r="A23" s="23" t="s">
        <v>58</v>
      </c>
      <c r="B23" s="9"/>
      <c r="C23" s="17"/>
      <c r="D23" s="30"/>
    </row>
    <row r="24" spans="1:6" x14ac:dyDescent="0.3">
      <c r="A24" s="103" t="s">
        <v>18</v>
      </c>
      <c r="B24" s="104">
        <f>B18</f>
        <v>6400</v>
      </c>
      <c r="C24" s="105" t="s">
        <v>11</v>
      </c>
      <c r="D24" s="106">
        <f>B24</f>
        <v>6400</v>
      </c>
    </row>
    <row r="25" spans="1:6" x14ac:dyDescent="0.3">
      <c r="A25" s="69" t="s">
        <v>0</v>
      </c>
      <c r="B25" s="107">
        <f>B19</f>
        <v>512000</v>
      </c>
      <c r="C25" s="71" t="s">
        <v>1</v>
      </c>
      <c r="D25" s="108">
        <f>B25</f>
        <v>512000</v>
      </c>
    </row>
    <row r="26" spans="1:6" x14ac:dyDescent="0.3">
      <c r="A26" s="109" t="s">
        <v>7</v>
      </c>
      <c r="B26" s="107">
        <f>B20*200/(200-B15)</f>
        <v>76646706.586826354</v>
      </c>
      <c r="C26" s="71" t="s">
        <v>2</v>
      </c>
      <c r="D26" s="110">
        <f>B26</f>
        <v>76646706.586826354</v>
      </c>
      <c r="F26" s="129"/>
    </row>
    <row r="27" spans="1:6" x14ac:dyDescent="0.3">
      <c r="A27" s="111" t="s">
        <v>54</v>
      </c>
      <c r="B27" s="112">
        <f>(B20*200)^2/(200-B15)/B15/B19</f>
        <v>58065686808.201782</v>
      </c>
      <c r="C27" s="113" t="s">
        <v>3</v>
      </c>
      <c r="D27" s="114">
        <f>B27</f>
        <v>58065686808.201782</v>
      </c>
      <c r="F27" s="129"/>
    </row>
    <row r="28" spans="1:6" x14ac:dyDescent="0.3">
      <c r="A28" s="25"/>
      <c r="B28" s="9"/>
      <c r="C28" s="17"/>
      <c r="D28" s="30"/>
    </row>
    <row r="29" spans="1:6" x14ac:dyDescent="0.3">
      <c r="A29" s="26" t="s">
        <v>59</v>
      </c>
      <c r="B29" s="9"/>
      <c r="C29" s="17"/>
      <c r="D29" s="30"/>
      <c r="F29" s="129"/>
    </row>
    <row r="30" spans="1:6" x14ac:dyDescent="0.3">
      <c r="A30" s="103" t="s">
        <v>55</v>
      </c>
      <c r="B30" s="104">
        <f>B18</f>
        <v>6400</v>
      </c>
      <c r="C30" s="105" t="s">
        <v>11</v>
      </c>
      <c r="D30" s="106">
        <f>B30</f>
        <v>6400</v>
      </c>
    </row>
    <row r="31" spans="1:6" x14ac:dyDescent="0.3">
      <c r="A31" s="69" t="s">
        <v>56</v>
      </c>
      <c r="B31" s="107">
        <f>B19</f>
        <v>512000</v>
      </c>
      <c r="C31" s="71" t="s">
        <v>1</v>
      </c>
      <c r="D31" s="108">
        <f>B31</f>
        <v>512000</v>
      </c>
    </row>
    <row r="32" spans="1:6" x14ac:dyDescent="0.3">
      <c r="A32" s="109" t="s">
        <v>64</v>
      </c>
      <c r="B32" s="115">
        <f>B15*B19*5/B20</f>
        <v>1.32</v>
      </c>
      <c r="C32" s="71" t="s">
        <v>4</v>
      </c>
      <c r="D32" s="108">
        <f>B32</f>
        <v>1.32</v>
      </c>
    </row>
    <row r="33" spans="1:4" ht="17.25" thickBot="1" x14ac:dyDescent="0.35">
      <c r="A33" s="116" t="s">
        <v>57</v>
      </c>
      <c r="B33" s="117">
        <f>B20/(1-B15/200)</f>
        <v>76646706.586826354</v>
      </c>
      <c r="C33" s="76" t="s">
        <v>2</v>
      </c>
      <c r="D33" s="118">
        <f>B33</f>
        <v>76646706.586826354</v>
      </c>
    </row>
    <row r="36" spans="1:4" x14ac:dyDescent="0.3">
      <c r="A36" s="130" t="s">
        <v>44</v>
      </c>
      <c r="B36" s="131"/>
      <c r="C36" s="131"/>
      <c r="D36" s="132"/>
    </row>
    <row r="37" spans="1:4" x14ac:dyDescent="0.3">
      <c r="A37" s="58" t="s">
        <v>27</v>
      </c>
      <c r="B37" s="37">
        <v>0.5</v>
      </c>
      <c r="C37" s="40" t="s">
        <v>4</v>
      </c>
      <c r="D37" s="59" t="s">
        <v>45</v>
      </c>
    </row>
    <row r="38" spans="1:4" x14ac:dyDescent="0.3">
      <c r="A38" s="60" t="s">
        <v>6</v>
      </c>
      <c r="B38" s="38">
        <v>5</v>
      </c>
      <c r="C38" s="41" t="s">
        <v>8</v>
      </c>
      <c r="D38" s="61" t="s">
        <v>46</v>
      </c>
    </row>
    <row r="39" spans="1:4" x14ac:dyDescent="0.3">
      <c r="A39" s="60" t="s">
        <v>0</v>
      </c>
      <c r="B39" s="38">
        <f>B43*B8/1000</f>
        <v>20000</v>
      </c>
      <c r="C39" s="41" t="s">
        <v>9</v>
      </c>
      <c r="D39" s="61" t="s">
        <v>47</v>
      </c>
    </row>
    <row r="40" spans="1:4" x14ac:dyDescent="0.3">
      <c r="A40" s="62" t="s">
        <v>36</v>
      </c>
      <c r="B40" s="39">
        <f>B44*B8/1000000</f>
        <v>80000</v>
      </c>
      <c r="C40" s="42" t="s">
        <v>10</v>
      </c>
      <c r="D40" s="63" t="s">
        <v>48</v>
      </c>
    </row>
    <row r="41" spans="1:4" x14ac:dyDescent="0.3">
      <c r="C41" s="16"/>
    </row>
    <row r="42" spans="1:4" hidden="1" x14ac:dyDescent="0.3">
      <c r="A42" s="10" t="s">
        <v>6</v>
      </c>
      <c r="B42" s="5">
        <f>B38*B9</f>
        <v>6400</v>
      </c>
      <c r="C42" s="27" t="s">
        <v>11</v>
      </c>
      <c r="D42" s="13"/>
    </row>
    <row r="43" spans="1:4" hidden="1" x14ac:dyDescent="0.3">
      <c r="A43" s="11" t="s">
        <v>31</v>
      </c>
      <c r="B43" s="9">
        <f>B42/0.5/(B37*0.001)</f>
        <v>25600000</v>
      </c>
      <c r="C43" s="28" t="s">
        <v>1</v>
      </c>
      <c r="D43" s="13"/>
    </row>
    <row r="44" spans="1:4" hidden="1" x14ac:dyDescent="0.3">
      <c r="A44" s="12" t="s">
        <v>32</v>
      </c>
      <c r="B44" s="6">
        <f>B43/(B37*0.001/2)</f>
        <v>102400000000</v>
      </c>
      <c r="C44" s="29" t="s">
        <v>2</v>
      </c>
      <c r="D44" s="13"/>
    </row>
  </sheetData>
  <mergeCells count="1">
    <mergeCell ref="A36:D36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F44"/>
  <sheetViews>
    <sheetView tabSelected="1" workbookViewId="0">
      <selection activeCell="B27" sqref="B27"/>
    </sheetView>
  </sheetViews>
  <sheetFormatPr defaultRowHeight="16.5" x14ac:dyDescent="0.3"/>
  <cols>
    <col min="1" max="1" width="30.5" customWidth="1"/>
    <col min="2" max="2" width="23.125" style="1" bestFit="1" customWidth="1"/>
    <col min="4" max="4" width="22" style="2" bestFit="1" customWidth="1"/>
    <col min="6" max="6" width="11.875" bestFit="1" customWidth="1"/>
  </cols>
  <sheetData>
    <row r="1" spans="1:6" x14ac:dyDescent="0.3">
      <c r="A1" s="10" t="s">
        <v>43</v>
      </c>
      <c r="B1" s="52"/>
    </row>
    <row r="2" spans="1:6" x14ac:dyDescent="0.3">
      <c r="A2" s="12" t="s">
        <v>42</v>
      </c>
      <c r="B2" s="53"/>
    </row>
    <row r="4" spans="1:6" ht="17.25" thickBot="1" x14ac:dyDescent="0.35">
      <c r="B4" s="14" t="s">
        <v>21</v>
      </c>
      <c r="C4" s="15" t="s">
        <v>20</v>
      </c>
      <c r="D4" s="18" t="s">
        <v>41</v>
      </c>
    </row>
    <row r="5" spans="1:6" ht="16.5" customHeight="1" x14ac:dyDescent="0.3">
      <c r="A5" s="47" t="s">
        <v>60</v>
      </c>
      <c r="B5" s="48"/>
      <c r="C5" s="49"/>
      <c r="D5" s="51"/>
    </row>
    <row r="6" spans="1:6" x14ac:dyDescent="0.3">
      <c r="A6" s="65" t="s">
        <v>15</v>
      </c>
      <c r="B6" s="119">
        <v>8388608</v>
      </c>
      <c r="C6" s="67" t="s">
        <v>26</v>
      </c>
      <c r="D6" s="68"/>
    </row>
    <row r="7" spans="1:6" x14ac:dyDescent="0.3">
      <c r="A7" s="69" t="s">
        <v>14</v>
      </c>
      <c r="B7" s="70">
        <v>1</v>
      </c>
      <c r="C7" s="71"/>
      <c r="D7" s="72"/>
    </row>
    <row r="8" spans="1:6" x14ac:dyDescent="0.3">
      <c r="A8" s="69" t="s">
        <v>17</v>
      </c>
      <c r="B8" s="120">
        <f>B6*B7</f>
        <v>8388608</v>
      </c>
      <c r="C8" s="71"/>
      <c r="D8" s="72"/>
    </row>
    <row r="9" spans="1:6" ht="17.25" thickBot="1" x14ac:dyDescent="0.35">
      <c r="A9" s="74" t="s">
        <v>29</v>
      </c>
      <c r="B9" s="121">
        <f>B8/360</f>
        <v>23301.68888888889</v>
      </c>
      <c r="C9" s="76"/>
      <c r="D9" s="77"/>
    </row>
    <row r="10" spans="1:6" ht="17.25" thickBot="1" x14ac:dyDescent="0.35">
      <c r="A10" s="7"/>
      <c r="C10" s="16"/>
      <c r="D10" s="8"/>
    </row>
    <row r="11" spans="1:6" x14ac:dyDescent="0.3">
      <c r="A11" s="43" t="s">
        <v>61</v>
      </c>
      <c r="B11" s="44"/>
      <c r="C11" s="45"/>
      <c r="D11" s="46"/>
    </row>
    <row r="12" spans="1:6" x14ac:dyDescent="0.3">
      <c r="A12" s="78" t="s">
        <v>50</v>
      </c>
      <c r="B12" s="122">
        <v>360</v>
      </c>
      <c r="C12" s="67" t="s">
        <v>16</v>
      </c>
      <c r="D12" s="68"/>
    </row>
    <row r="13" spans="1:6" x14ac:dyDescent="0.3">
      <c r="A13" s="82" t="s">
        <v>51</v>
      </c>
      <c r="B13" s="123">
        <v>350</v>
      </c>
      <c r="C13" s="71" t="s">
        <v>23</v>
      </c>
      <c r="D13" s="72"/>
    </row>
    <row r="14" spans="1:6" x14ac:dyDescent="0.3">
      <c r="A14" s="82" t="s">
        <v>52</v>
      </c>
      <c r="B14" s="123">
        <f>B13/0.01</f>
        <v>35000</v>
      </c>
      <c r="C14" s="71" t="s">
        <v>24</v>
      </c>
      <c r="D14" s="72"/>
      <c r="F14">
        <f>B14*60</f>
        <v>2100000</v>
      </c>
    </row>
    <row r="15" spans="1:6" ht="17.25" thickBot="1" x14ac:dyDescent="0.35">
      <c r="A15" s="87" t="s">
        <v>53</v>
      </c>
      <c r="B15" s="124">
        <v>20</v>
      </c>
      <c r="C15" s="76" t="s">
        <v>22</v>
      </c>
      <c r="D15" s="77"/>
    </row>
    <row r="16" spans="1:6" x14ac:dyDescent="0.3">
      <c r="C16" s="16"/>
      <c r="D16" s="8"/>
    </row>
    <row r="17" spans="1:6" x14ac:dyDescent="0.3">
      <c r="A17" s="54" t="s">
        <v>62</v>
      </c>
      <c r="B17" s="55"/>
      <c r="C17" s="56"/>
      <c r="D17" s="57"/>
    </row>
    <row r="18" spans="1:6" x14ac:dyDescent="0.3">
      <c r="A18" s="91" t="s">
        <v>6</v>
      </c>
      <c r="B18" s="92">
        <f>B12*B9</f>
        <v>8388608</v>
      </c>
      <c r="C18" s="93" t="s">
        <v>11</v>
      </c>
      <c r="D18" s="94"/>
      <c r="F18" s="129">
        <f>B19/B18*360</f>
        <v>2100</v>
      </c>
    </row>
    <row r="19" spans="1:6" x14ac:dyDescent="0.3">
      <c r="A19" s="95" t="s">
        <v>0</v>
      </c>
      <c r="B19" s="96">
        <f>B13/60*B8</f>
        <v>48933546.666666664</v>
      </c>
      <c r="C19" s="97" t="s">
        <v>1</v>
      </c>
      <c r="D19" s="98"/>
      <c r="F19">
        <f>B20/B18*360</f>
        <v>210000</v>
      </c>
    </row>
    <row r="20" spans="1:6" x14ac:dyDescent="0.3">
      <c r="A20" s="99" t="s">
        <v>19</v>
      </c>
      <c r="B20" s="100">
        <f>B14/60*B8</f>
        <v>4893354666.666667</v>
      </c>
      <c r="C20" s="101" t="s">
        <v>2</v>
      </c>
      <c r="D20" s="102"/>
    </row>
    <row r="21" spans="1:6" ht="17.25" thickBot="1" x14ac:dyDescent="0.35">
      <c r="A21" s="3"/>
      <c r="C21" s="16"/>
      <c r="D21" s="4"/>
    </row>
    <row r="22" spans="1:6" x14ac:dyDescent="0.3">
      <c r="A22" s="19" t="s">
        <v>63</v>
      </c>
      <c r="B22" s="20"/>
      <c r="C22" s="21"/>
      <c r="D22" s="22"/>
    </row>
    <row r="23" spans="1:6" x14ac:dyDescent="0.3">
      <c r="A23" s="23" t="s">
        <v>58</v>
      </c>
      <c r="B23" s="9"/>
      <c r="C23" s="17"/>
      <c r="D23" s="24"/>
    </row>
    <row r="24" spans="1:6" x14ac:dyDescent="0.3">
      <c r="A24" s="103" t="s">
        <v>18</v>
      </c>
      <c r="B24" s="104">
        <f>B18</f>
        <v>8388608</v>
      </c>
      <c r="C24" s="105" t="s">
        <v>11</v>
      </c>
      <c r="D24" s="125">
        <f>B24</f>
        <v>8388608</v>
      </c>
    </row>
    <row r="25" spans="1:6" x14ac:dyDescent="0.3">
      <c r="A25" s="69" t="s">
        <v>0</v>
      </c>
      <c r="B25" s="107">
        <f>B19</f>
        <v>48933546.666666664</v>
      </c>
      <c r="C25" s="71" t="s">
        <v>1</v>
      </c>
      <c r="D25" s="126">
        <f>B25</f>
        <v>48933546.666666664</v>
      </c>
    </row>
    <row r="26" spans="1:6" x14ac:dyDescent="0.3">
      <c r="A26" s="109" t="s">
        <v>7</v>
      </c>
      <c r="B26" s="107">
        <f>B20*200/(200-B15)</f>
        <v>5437060740.7407408</v>
      </c>
      <c r="C26" s="71" t="s">
        <v>2</v>
      </c>
      <c r="D26" s="126">
        <f>B26</f>
        <v>5437060740.7407408</v>
      </c>
    </row>
    <row r="27" spans="1:6" x14ac:dyDescent="0.3">
      <c r="A27" s="111" t="s">
        <v>54</v>
      </c>
      <c r="B27" s="112">
        <f>(B20*200)^2/(200-B15)/B15/B19</f>
        <v>5437060740740.7422</v>
      </c>
      <c r="C27" s="113" t="s">
        <v>3</v>
      </c>
      <c r="D27" s="127">
        <f>B27</f>
        <v>5437060740740.7422</v>
      </c>
    </row>
    <row r="28" spans="1:6" x14ac:dyDescent="0.3">
      <c r="A28" s="25"/>
      <c r="B28" s="9"/>
      <c r="C28" s="17"/>
      <c r="D28" s="24"/>
    </row>
    <row r="29" spans="1:6" x14ac:dyDescent="0.3">
      <c r="A29" s="26" t="s">
        <v>59</v>
      </c>
      <c r="B29" s="9"/>
      <c r="C29" s="17"/>
      <c r="D29" s="24"/>
    </row>
    <row r="30" spans="1:6" x14ac:dyDescent="0.3">
      <c r="A30" s="103" t="s">
        <v>55</v>
      </c>
      <c r="B30" s="104">
        <f>B18</f>
        <v>8388608</v>
      </c>
      <c r="C30" s="105" t="s">
        <v>11</v>
      </c>
      <c r="D30" s="125">
        <f>B24</f>
        <v>8388608</v>
      </c>
    </row>
    <row r="31" spans="1:6" x14ac:dyDescent="0.3">
      <c r="A31" s="69" t="s">
        <v>56</v>
      </c>
      <c r="B31" s="107">
        <f>B19</f>
        <v>48933546.666666664</v>
      </c>
      <c r="C31" s="71" t="s">
        <v>1</v>
      </c>
      <c r="D31" s="126">
        <f>B25</f>
        <v>48933546.666666664</v>
      </c>
    </row>
    <row r="32" spans="1:6" x14ac:dyDescent="0.3">
      <c r="A32" s="109" t="s">
        <v>64</v>
      </c>
      <c r="B32" s="115">
        <f>B15*B19*5/B20</f>
        <v>0.99999999999999978</v>
      </c>
      <c r="C32" s="71" t="s">
        <v>4</v>
      </c>
      <c r="D32" s="126">
        <f>B32</f>
        <v>0.99999999999999978</v>
      </c>
    </row>
    <row r="33" spans="1:4" ht="17.25" thickBot="1" x14ac:dyDescent="0.35">
      <c r="A33" s="116" t="s">
        <v>57</v>
      </c>
      <c r="B33" s="117">
        <f>B20/(1-B15/200)</f>
        <v>5437060740.7407408</v>
      </c>
      <c r="C33" s="76" t="s">
        <v>2</v>
      </c>
      <c r="D33" s="128">
        <f>B33</f>
        <v>5437060740.7407408</v>
      </c>
    </row>
    <row r="36" spans="1:4" x14ac:dyDescent="0.3">
      <c r="A36" s="133" t="s">
        <v>44</v>
      </c>
      <c r="B36" s="134"/>
      <c r="C36" s="134"/>
      <c r="D36" s="64"/>
    </row>
    <row r="37" spans="1:4" x14ac:dyDescent="0.3">
      <c r="A37" s="34" t="s">
        <v>27</v>
      </c>
      <c r="B37" s="37">
        <v>25</v>
      </c>
      <c r="C37" s="31" t="s">
        <v>37</v>
      </c>
      <c r="D37" s="59" t="s">
        <v>45</v>
      </c>
    </row>
    <row r="38" spans="1:4" x14ac:dyDescent="0.3">
      <c r="A38" s="35" t="s">
        <v>28</v>
      </c>
      <c r="B38" s="38">
        <v>120</v>
      </c>
      <c r="C38" s="32" t="s">
        <v>38</v>
      </c>
      <c r="D38" s="61" t="s">
        <v>49</v>
      </c>
    </row>
    <row r="39" spans="1:4" x14ac:dyDescent="0.3">
      <c r="A39" s="35" t="s">
        <v>35</v>
      </c>
      <c r="B39" s="38">
        <f>B43/B8*60</f>
        <v>1600</v>
      </c>
      <c r="C39" s="32" t="s">
        <v>39</v>
      </c>
      <c r="D39" s="61" t="s">
        <v>47</v>
      </c>
    </row>
    <row r="40" spans="1:4" x14ac:dyDescent="0.3">
      <c r="A40" s="36" t="s">
        <v>36</v>
      </c>
      <c r="B40" s="39">
        <f>B44/B8</f>
        <v>2133.3333333333335</v>
      </c>
      <c r="C40" s="33" t="s">
        <v>40</v>
      </c>
      <c r="D40" s="63" t="s">
        <v>48</v>
      </c>
    </row>
    <row r="41" spans="1:4" x14ac:dyDescent="0.3">
      <c r="C41" s="16"/>
    </row>
    <row r="42" spans="1:4" hidden="1" x14ac:dyDescent="0.3">
      <c r="A42" s="10" t="s">
        <v>28</v>
      </c>
      <c r="B42" s="5">
        <f>B38*B9</f>
        <v>2796202.666666667</v>
      </c>
      <c r="C42" s="27" t="s">
        <v>30</v>
      </c>
      <c r="D42" s="13"/>
    </row>
    <row r="43" spans="1:4" hidden="1" x14ac:dyDescent="0.3">
      <c r="A43" s="11" t="s">
        <v>31</v>
      </c>
      <c r="B43" s="9">
        <f>B42/0.5/(B37*0.001)</f>
        <v>223696213.33333334</v>
      </c>
      <c r="C43" s="28" t="s">
        <v>33</v>
      </c>
      <c r="D43" s="13"/>
    </row>
    <row r="44" spans="1:4" hidden="1" x14ac:dyDescent="0.3">
      <c r="A44" s="12" t="s">
        <v>32</v>
      </c>
      <c r="B44" s="6">
        <f>B43/(B37*0.001/2)</f>
        <v>17895697066.666668</v>
      </c>
      <c r="C44" s="29" t="s">
        <v>34</v>
      </c>
      <c r="D44" s="13"/>
    </row>
  </sheetData>
  <mergeCells count="1">
    <mergeCell ref="A36:C36"/>
  </mergeCells>
  <phoneticPr fontId="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리니어모터 Elmo 파라미터 계산 </vt:lpstr>
      <vt:lpstr>로터리모터 Elmo 파라미터 계산</vt:lpstr>
    </vt:vector>
  </TitlesOfParts>
  <Company>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elmo</dc:creator>
  <cp:lastModifiedBy>SeongHwan Seo</cp:lastModifiedBy>
  <dcterms:created xsi:type="dcterms:W3CDTF">2012-08-22T17:39:19Z</dcterms:created>
  <dcterms:modified xsi:type="dcterms:W3CDTF">2026-04-15T02:37:13Z</dcterms:modified>
</cp:coreProperties>
</file>